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F15BADC9-CB4B-4D0D-A9EB-1F4DE9EBD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yBaMM Parameters" sheetId="1" r:id="rId1"/>
    <sheet name="Concentration_Volume_fraction c" sheetId="3" r:id="rId2"/>
    <sheet name="function parameters" sheetId="4" r:id="rId3"/>
    <sheet name="Density" sheetId="2" r:id="rId4"/>
  </sheets>
  <definedNames>
    <definedName name="_xlnm._FilterDatabase" localSheetId="0" hidden="1">'PyBaMM Parameters'!$A$1:$B$78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I10" i="3"/>
  <c r="I9" i="3"/>
  <c r="W4" i="3"/>
  <c r="W3" i="3" s="1"/>
  <c r="W18" i="3"/>
  <c r="W19" i="3"/>
  <c r="S3" i="3"/>
  <c r="S4" i="3"/>
  <c r="S7" i="3"/>
  <c r="S16" i="3" s="1"/>
  <c r="S9" i="3" s="1"/>
  <c r="K31" i="3"/>
  <c r="I31" i="3"/>
  <c r="K30" i="3"/>
  <c r="I30" i="3"/>
  <c r="B24" i="3"/>
  <c r="S18" i="3"/>
  <c r="S19" i="3" s="1"/>
  <c r="S12" i="3"/>
  <c r="K10" i="3"/>
  <c r="K9" i="3"/>
  <c r="B3" i="3"/>
  <c r="W7" i="3" l="1"/>
  <c r="W16" i="3" s="1"/>
  <c r="W17" i="3"/>
  <c r="W20" i="3" s="1"/>
  <c r="S17" i="3"/>
  <c r="S20" i="3" s="1"/>
  <c r="S22" i="3"/>
  <c r="I5" i="3"/>
  <c r="I6" i="3" s="1"/>
  <c r="I16" i="3" s="1"/>
  <c r="W9" i="3" l="1"/>
  <c r="W22" i="3" s="1"/>
  <c r="I26" i="3"/>
  <c r="I37" i="3" l="1"/>
</calcChain>
</file>

<file path=xl/sharedStrings.xml><?xml version="1.0" encoding="utf-8"?>
<sst xmlns="http://schemas.openxmlformats.org/spreadsheetml/2006/main" count="267" uniqueCount="204">
  <si>
    <t>S.No</t>
  </si>
  <si>
    <t>Parameter</t>
  </si>
  <si>
    <t>CELL</t>
  </si>
  <si>
    <t>Negative current collector thickness [m]</t>
  </si>
  <si>
    <t>Positive current collector thickness [m]</t>
  </si>
  <si>
    <t>Negative electrode thickness [m]</t>
  </si>
  <si>
    <t>Positive electrode thickness [m]</t>
  </si>
  <si>
    <t>Separator thickness [m]</t>
  </si>
  <si>
    <t>Electrode height [m]</t>
  </si>
  <si>
    <t>Electrode width [m]</t>
  </si>
  <si>
    <t>Cell cooling surface area [m2]</t>
  </si>
  <si>
    <t>Cell volume [m3]</t>
  </si>
  <si>
    <t>Nominal cell capacity [A.h]</t>
  </si>
  <si>
    <t>Number of electrodes connected in parallel to make a cell</t>
  </si>
  <si>
    <t>Number of cells connected in series to make a battery</t>
  </si>
  <si>
    <t>Current function [A]</t>
  </si>
  <si>
    <t>NEGATIVE ELECTRODE</t>
  </si>
  <si>
    <t>Maximum concentration in negative electrode [mol.m-3]</t>
  </si>
  <si>
    <t>Initial concentration in negative electrode [mol.m-3]</t>
  </si>
  <si>
    <t>Negative electrode OCP [V]</t>
  </si>
  <si>
    <t>Negative electrode OCP entropic change [V.K-1]</t>
  </si>
  <si>
    <t>Negative electrode exchange-current density [A.m-2]</t>
  </si>
  <si>
    <t>Negative particle radius [m]</t>
  </si>
  <si>
    <t>Negative particle diffusivity [m2.s-1]</t>
  </si>
  <si>
    <t>Negative electrode active material volume fraction</t>
  </si>
  <si>
    <t>Negative electrode porosity</t>
  </si>
  <si>
    <t>Negative electrode conductivity [S.m-1]</t>
  </si>
  <si>
    <t>Negative electrode Bruggeman coefficient (electrolyte)</t>
  </si>
  <si>
    <t>Negative electrode Bruggeman coefficient (electrode)</t>
  </si>
  <si>
    <t>Negative electrode density [kg.m-3]</t>
  </si>
  <si>
    <t>Negative electrode specific heat capacity [J.kg-1.K-1]</t>
  </si>
  <si>
    <t>POSITIVE ELECTRODE</t>
  </si>
  <si>
    <t>Maximum concentration in positive electrode [mol.m-3]</t>
  </si>
  <si>
    <t>Initial concentration in positive electrode [mol.m-3]</t>
  </si>
  <si>
    <t>Positive electrode OCP [V]</t>
  </si>
  <si>
    <t>Positive electrode OCP entropic change [V.K-1]</t>
  </si>
  <si>
    <t>Positive electrode exchange-current density [A.m-2]</t>
  </si>
  <si>
    <t>Positive particle radius [m]</t>
  </si>
  <si>
    <t>Positive particle diffusivity [m2.s-1]</t>
  </si>
  <si>
    <t>Positive electrode active material volume fraction</t>
  </si>
  <si>
    <t>Positive electrode porosity</t>
  </si>
  <si>
    <t>Positive electrode conductivity [S.m-1]</t>
  </si>
  <si>
    <t>Positive electrode Bruggeman coefficient (electrolyte)</t>
  </si>
  <si>
    <t>Positive electrode Bruggeman coefficient (electrode)</t>
  </si>
  <si>
    <t>Positive electrode density [kg.m-3]</t>
  </si>
  <si>
    <t>Positive electrode specific heat capacity [J.kg-1.K-1]</t>
  </si>
  <si>
    <t>SEPARATOR</t>
  </si>
  <si>
    <t>Separator porosity</t>
  </si>
  <si>
    <t>Separator Bruggeman coefficient (electrolyte)</t>
  </si>
  <si>
    <t>Separator density [kg.m-3]</t>
  </si>
  <si>
    <t>Separator specific heat capacity [J.kg-1.K-1]</t>
  </si>
  <si>
    <t>ELECTROLYTE</t>
  </si>
  <si>
    <t>Initial concentration in electrolyte [mol.m-3]</t>
  </si>
  <si>
    <t>Cation transference number</t>
  </si>
  <si>
    <t>Thermodynamic factor</t>
  </si>
  <si>
    <t>Electrolyte diffusivity [m2.s-1]</t>
  </si>
  <si>
    <t>Electrolyte conductivity [S.m-1]</t>
  </si>
  <si>
    <t>CURRENT COLLECTORS</t>
  </si>
  <si>
    <t>Negative current collector conductivity [S.m-1]</t>
  </si>
  <si>
    <t>Positive current collector conductivity [S.m-1]</t>
  </si>
  <si>
    <t>Negative current collector density [kg.m-3]</t>
  </si>
  <si>
    <t>Positive current collector density [kg.m-3]</t>
  </si>
  <si>
    <t>Negative current collector specific heat capacity [J.kg-1.K-1]</t>
  </si>
  <si>
    <t>Positive current collector specific heat capacity [J.kg-1.K-1]</t>
  </si>
  <si>
    <t>THERMAL &amp; EXPERIMENT</t>
  </si>
  <si>
    <t>Reference temperature [K]</t>
  </si>
  <si>
    <t>Initial temperature [K]</t>
  </si>
  <si>
    <t>Ambient temperature [K]</t>
  </si>
  <si>
    <t>Total heat transfer coefficient [W.m-2.K-1]</t>
  </si>
  <si>
    <t>Lower voltage cut-off [V]</t>
  </si>
  <si>
    <t>Upper voltage cut-off [V]</t>
  </si>
  <si>
    <t>Ideal gas constant [J.K-1.mol-1]</t>
  </si>
  <si>
    <t>Faraday constant [C.mol-1]</t>
  </si>
  <si>
    <t>Initial Value</t>
  </si>
  <si>
    <t>A</t>
  </si>
  <si>
    <t>Scipioni 2018</t>
  </si>
  <si>
    <t>Watzold 2025</t>
  </si>
  <si>
    <t>Positive</t>
  </si>
  <si>
    <t>Length</t>
  </si>
  <si>
    <t>m</t>
  </si>
  <si>
    <t xml:space="preserve">C_FCC </t>
  </si>
  <si>
    <t>mAh/g.LFP</t>
  </si>
  <si>
    <t>C_FCC</t>
  </si>
  <si>
    <t>mAh/g.Gr</t>
  </si>
  <si>
    <t>Ap</t>
  </si>
  <si>
    <t>Width</t>
  </si>
  <si>
    <t xml:space="preserve">LFP loading </t>
  </si>
  <si>
    <t>kg/m2</t>
  </si>
  <si>
    <t>Gr Loading</t>
  </si>
  <si>
    <t>F</t>
  </si>
  <si>
    <t>delta_p(one side thickness)</t>
  </si>
  <si>
    <t>mg/cm2</t>
  </si>
  <si>
    <t>epsilon_p(active material volume fraction)</t>
  </si>
  <si>
    <t>Cs_max(p)</t>
  </si>
  <si>
    <t>mol/m3</t>
  </si>
  <si>
    <t>Active LFP</t>
  </si>
  <si>
    <t>Active Gr</t>
  </si>
  <si>
    <t>LFP active</t>
  </si>
  <si>
    <t>Gr active</t>
  </si>
  <si>
    <t>y_e</t>
  </si>
  <si>
    <t>**taken</t>
  </si>
  <si>
    <t xml:space="preserve">Density </t>
  </si>
  <si>
    <t>g/cm3</t>
  </si>
  <si>
    <t>Gr Density</t>
  </si>
  <si>
    <t>y_0( initial stoichiometry)</t>
  </si>
  <si>
    <t>Volume of LFP</t>
  </si>
  <si>
    <t>cm3</t>
  </si>
  <si>
    <t>Volume of Gr</t>
  </si>
  <si>
    <t>y_100( final stoichiometry)</t>
  </si>
  <si>
    <t>z.LFP</t>
  </si>
  <si>
    <t>z.Gr</t>
  </si>
  <si>
    <t xml:space="preserve">M.wt </t>
  </si>
  <si>
    <t>g/mol</t>
  </si>
  <si>
    <t>M.wt</t>
  </si>
  <si>
    <t>Current_function</t>
  </si>
  <si>
    <t>M.wt.</t>
  </si>
  <si>
    <t>Kg/mol</t>
  </si>
  <si>
    <t>kg/mol</t>
  </si>
  <si>
    <t>Nominal _capacity</t>
  </si>
  <si>
    <t>Ah</t>
  </si>
  <si>
    <t>Thickness</t>
  </si>
  <si>
    <t>micron</t>
  </si>
  <si>
    <t>Area (15mm disc)</t>
  </si>
  <si>
    <t>cm2</t>
  </si>
  <si>
    <t>Qp</t>
  </si>
  <si>
    <t>g</t>
  </si>
  <si>
    <t>Total mass</t>
  </si>
  <si>
    <t>Total Volume</t>
  </si>
  <si>
    <t>Volume</t>
  </si>
  <si>
    <t>m3</t>
  </si>
  <si>
    <t>Density (eff.)</t>
  </si>
  <si>
    <t>Kg/m3</t>
  </si>
  <si>
    <t>Vol fraction</t>
  </si>
  <si>
    <t>Negative</t>
  </si>
  <si>
    <t>An</t>
  </si>
  <si>
    <t>delta_n(one side thickness)</t>
  </si>
  <si>
    <t>FORMULATIONS:</t>
  </si>
  <si>
    <t>epsilon_n(active material volume fraction)</t>
  </si>
  <si>
    <t>Cs_max(n)</t>
  </si>
  <si>
    <t>epsilon = (mass/density)/Vol of elctrode</t>
  </si>
  <si>
    <t>x_e</t>
  </si>
  <si>
    <t>Cs_max_p= (Loading(mass/cm2)*0.96*z)/(M.wt*(delta_p)*epsilon_p)</t>
  </si>
  <si>
    <t>***check the convention for delta_p</t>
  </si>
  <si>
    <t>x_100( final stoichiometry)</t>
  </si>
  <si>
    <t>x_0( initial stoichiometry)</t>
  </si>
  <si>
    <t>Cs_max_n = (q/F*L*Eact)</t>
  </si>
  <si>
    <t>y_100 = (170-y_e)/170</t>
  </si>
  <si>
    <t>y_0=y_e/170</t>
  </si>
  <si>
    <t>x_100 = (x_e/370)</t>
  </si>
  <si>
    <t>x_0=(370-x_e)/370</t>
  </si>
  <si>
    <t>Qn</t>
  </si>
  <si>
    <t>Q_p = (Cs_max*[A*delta_p*epsilon)*F*|y_100 - y_0|)/3600</t>
  </si>
  <si>
    <t>***Theoretical capacity</t>
  </si>
  <si>
    <t>**** just an intuition -  LiC6 ( 6 carbon atoms will hold 1 Li+) -    Cs_max_n = (Cs_max_p formula with respective negative electrode values)/6</t>
  </si>
  <si>
    <t>function</t>
  </si>
  <si>
    <t>mah/cm2</t>
  </si>
  <si>
    <t>scipioni paper</t>
  </si>
  <si>
    <t>0.85*</t>
  </si>
  <si>
    <t>0.035*</t>
  </si>
  <si>
    <t>R</t>
  </si>
  <si>
    <t>very out of range</t>
  </si>
  <si>
    <t>decent</t>
  </si>
  <si>
    <t>def graphite_LGM50_ocp_Chen2020(sto):</t>
  </si>
  <si>
    <t xml:space="preserve">    u_eq = (</t>
  </si>
  <si>
    <t xml:space="preserve">        1.9793 * np.exp(-39.3631 * sto)</t>
  </si>
  <si>
    <t xml:space="preserve">        - 0.0909 * np.tanh(29.8538 * (sto - 0.1234))</t>
  </si>
  <si>
    <t xml:space="preserve">        - 0.04478 * np.tanh(14.9159 * (sto - 0.2769))</t>
  </si>
  <si>
    <t xml:space="preserve">        - 0.0205 * np.tanh(30.4444 * (sto - 0.6103))</t>
  </si>
  <si>
    <t xml:space="preserve">    )</t>
  </si>
  <si>
    <t xml:space="preserve">    return u_eq</t>
  </si>
  <si>
    <t>def graphite_LGM50_electrolyte_exchange_current_density_Chen2020(</t>
  </si>
  <si>
    <t xml:space="preserve">    c_e, c_s_surf, c_s_max, T</t>
  </si>
  <si>
    <t>):</t>
  </si>
  <si>
    <t xml:space="preserve">    m_ref = 2.48e-7  # (A/m2)(m3/mol)**1.5 - includes ref concentrations</t>
  </si>
  <si>
    <t xml:space="preserve">    E_r = 35000</t>
  </si>
  <si>
    <t xml:space="preserve">    arrhenius = np.exp(E_r / pb.constants.R * (1 / 298.15 - 1 / T))</t>
  </si>
  <si>
    <t xml:space="preserve">    return m_ref * arrhenius * c_e**0.5 * c_s_surf**0.5 * (c_s_max - c_s_surf) ** 0.5</t>
  </si>
  <si>
    <t>def LFP_ocp_Afshar2017(sto):</t>
  </si>
  <si>
    <t xml:space="preserve">    c1 = -150 * sto</t>
  </si>
  <si>
    <t xml:space="preserve">    c2 = -30 * (1 - sto)</t>
  </si>
  <si>
    <t xml:space="preserve">    k = 3.4377 - 0.020269 * sto + 0.5 * np.exp(c1) - 0.9 * np.exp(c2)</t>
  </si>
  <si>
    <t xml:space="preserve">    return k</t>
  </si>
  <si>
    <t>def LFP_electrolyte_exchange_current_density_kashkooli2017(c_e, c_s_surf, c_s_max, T):</t>
  </si>
  <si>
    <t xml:space="preserve">    m_ref = 2 * 10 ** (-7)  # (A/m2)(m3/mol)**1.5 - includes ref concentrations</t>
  </si>
  <si>
    <t xml:space="preserve">    E_r = 39570</t>
  </si>
  <si>
    <t>def electrolyte_conductivity_Prada2013(c_e, T):</t>
  </si>
  <si>
    <t xml:space="preserve">    # convert c_e from mol/m3 to mol/L</t>
  </si>
  <si>
    <t xml:space="preserve">    c_e = c_e / 1e6</t>
  </si>
  <si>
    <t xml:space="preserve">    sigma_e = (</t>
  </si>
  <si>
    <t xml:space="preserve">        + 5.007 * c_e</t>
  </si>
  <si>
    <t xml:space="preserve">        - 4721.2 * c_e**2</t>
  </si>
  <si>
    <t xml:space="preserve">        + 1.5094e6 * c_e**3</t>
  </si>
  <si>
    <t xml:space="preserve">        - 1.6018e8 * c_e**4</t>
  </si>
  <si>
    <t xml:space="preserve">    ) * 1e3</t>
  </si>
  <si>
    <t xml:space="preserve">    return sigma_e</t>
  </si>
  <si>
    <t>def lfp_diffusivity(sto, T):</t>
  </si>
  <si>
    <t xml:space="preserve">    </t>
  </si>
  <si>
    <t xml:space="preserve">    D_ref = 0.5*2.3e-18</t>
  </si>
  <si>
    <t xml:space="preserve">    E_D_s = 43000</t>
  </si>
  <si>
    <t xml:space="preserve">    arrhenius = np.exp(E_D_s / pb.constants.R * (1 / 298.15 - 1 / T))</t>
  </si>
  <si>
    <t xml:space="preserve">    return D_ref * arrhenius</t>
  </si>
  <si>
    <t>def graphite_diffusivity(sto, T):</t>
  </si>
  <si>
    <t xml:space="preserve">    D_ref = 0.5*4.8e-15</t>
  </si>
  <si>
    <t xml:space="preserve">    E_D_s = 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</si>
</sst>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ourier New"/>
      <family val="3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11" fontId="0" fillId="0" borderId="0" xfId="0" applyNumberFormat="1"/>
    <xf numFmtId="0" fontId="6" fillId="0" borderId="0" xfId="0" applyFont="1"/>
    <xf numFmtId="0" fontId="4" fillId="0" borderId="5" xfId="0" applyFont="1" applyBorder="1"/>
    <xf numFmtId="0" fontId="4" fillId="0" borderId="6" xfId="0" applyFont="1" applyBorder="1"/>
    <xf numFmtId="0" fontId="0" fillId="0" borderId="6" xfId="0" applyBorder="1"/>
    <xf numFmtId="0" fontId="0" fillId="0" borderId="7" xfId="0" applyBorder="1"/>
    <xf numFmtId="0" fontId="4" fillId="2" borderId="8" xfId="0" applyFont="1" applyFill="1" applyBorder="1"/>
    <xf numFmtId="0" fontId="4" fillId="2" borderId="9" xfId="0" applyFont="1" applyFill="1" applyBorder="1"/>
    <xf numFmtId="0" fontId="0" fillId="2" borderId="10" xfId="0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0" fillId="3" borderId="10" xfId="0" applyFill="1" applyBorder="1"/>
    <xf numFmtId="0" fontId="4" fillId="0" borderId="0" xfId="0" applyFont="1"/>
    <xf numFmtId="0" fontId="4" fillId="0" borderId="11" xfId="0" applyFont="1" applyBorder="1"/>
    <xf numFmtId="0" fontId="0" fillId="0" borderId="12" xfId="0" applyBorder="1"/>
    <xf numFmtId="0" fontId="7" fillId="0" borderId="13" xfId="0" applyFont="1" applyBorder="1"/>
    <xf numFmtId="0" fontId="7" fillId="0" borderId="0" xfId="0" applyFont="1"/>
    <xf numFmtId="0" fontId="0" fillId="0" borderId="14" xfId="0" applyBorder="1"/>
    <xf numFmtId="0" fontId="0" fillId="0" borderId="13" xfId="0" applyBorder="1"/>
    <xf numFmtId="0" fontId="8" fillId="4" borderId="0" xfId="0" applyFont="1" applyFill="1"/>
    <xf numFmtId="164" fontId="0" fillId="0" borderId="0" xfId="0" applyNumberFormat="1"/>
    <xf numFmtId="2" fontId="0" fillId="0" borderId="0" xfId="0" applyNumberFormat="1"/>
    <xf numFmtId="0" fontId="0" fillId="0" borderId="11" xfId="0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4" fillId="0" borderId="18" xfId="0" applyFont="1" applyBorder="1"/>
    <xf numFmtId="0" fontId="0" fillId="0" borderId="19" xfId="0" applyBorder="1"/>
    <xf numFmtId="11" fontId="0" fillId="0" borderId="19" xfId="0" applyNumberFormat="1" applyBorder="1"/>
    <xf numFmtId="0" fontId="0" fillId="0" borderId="20" xfId="0" applyBorder="1"/>
    <xf numFmtId="164" fontId="0" fillId="0" borderId="14" xfId="0" applyNumberFormat="1" applyBorder="1"/>
    <xf numFmtId="165" fontId="0" fillId="0" borderId="14" xfId="0" applyNumberFormat="1" applyBorder="1"/>
    <xf numFmtId="0" fontId="0" fillId="0" borderId="21" xfId="0" applyBorder="1"/>
    <xf numFmtId="0" fontId="0" fillId="0" borderId="22" xfId="0" applyBorder="1"/>
    <xf numFmtId="166" fontId="0" fillId="0" borderId="23" xfId="0" applyNumberFormat="1" applyBorder="1"/>
    <xf numFmtId="166" fontId="4" fillId="0" borderId="0" xfId="0" applyNumberFormat="1" applyFont="1"/>
    <xf numFmtId="166" fontId="0" fillId="0" borderId="0" xfId="0" applyNumberFormat="1"/>
    <xf numFmtId="0" fontId="9" fillId="0" borderId="24" xfId="0" applyFont="1" applyBorder="1"/>
    <xf numFmtId="0" fontId="4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3" xfId="0" applyFont="1" applyBorder="1"/>
    <xf numFmtId="0" fontId="9" fillId="0" borderId="19" xfId="0" applyFont="1" applyBorder="1"/>
    <xf numFmtId="0" fontId="4" fillId="0" borderId="21" xfId="0" applyFont="1" applyBorder="1"/>
    <xf numFmtId="0" fontId="0" fillId="0" borderId="23" xfId="0" applyBorder="1"/>
    <xf numFmtId="0" fontId="10" fillId="0" borderId="0" xfId="0" applyFont="1"/>
    <xf numFmtId="0" fontId="6" fillId="0" borderId="14" xfId="0" applyFont="1" applyBorder="1"/>
    <xf numFmtId="0" fontId="6" fillId="0" borderId="13" xfId="0" applyFont="1" applyBorder="1"/>
    <xf numFmtId="0" fontId="3" fillId="0" borderId="0" xfId="0" applyFont="1"/>
    <xf numFmtId="166" fontId="3" fillId="0" borderId="2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84667</xdr:colOff>
      <xdr:row>3</xdr:row>
      <xdr:rowOff>65389</xdr:rowOff>
    </xdr:from>
    <xdr:to>
      <xdr:col>21</xdr:col>
      <xdr:colOff>221915</xdr:colOff>
      <xdr:row>29</xdr:row>
      <xdr:rowOff>65483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F7C8F-0FAE-E3E0-3168-E6BF42725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6889" y="770945"/>
          <a:ext cx="7475026" cy="4647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2</xdr:row>
      <xdr:rowOff>144780</xdr:rowOff>
    </xdr:from>
    <xdr:to>
      <xdr:col>6</xdr:col>
      <xdr:colOff>139621</xdr:colOff>
      <xdr:row>30</xdr:row>
      <xdr:rowOff>178161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0DF1B-DD6F-3E0D-8B94-6324B91AD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510540"/>
          <a:ext cx="3667681" cy="515402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17</xdr:col>
      <xdr:colOff>153272</xdr:colOff>
      <xdr:row>28</xdr:row>
      <xdr:rowOff>78729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EFE86F-3287-8793-42EA-B2556C96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731520"/>
          <a:ext cx="6249272" cy="4467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1"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1" width="7" customWidth="1"/>
    <col min="2" max="2" width="58" customWidth="1"/>
    <col min="3" max="3" width="8.6640625" bestFit="1" customWidth="1"/>
    <col min="4" max="5" width="12.21875" bestFit="1" customWidth="1"/>
  </cols>
  <sheetData>
    <row r="1" spans="1:7" ht="27.6" x14ac:dyDescent="0.3">
      <c r="A1" s="1" t="s">
        <v>0</v>
      </c>
      <c r="B1" s="1" t="s">
        <v>1</v>
      </c>
      <c r="C1" s="5" t="s">
        <v>73</v>
      </c>
    </row>
    <row r="2" spans="1:7" x14ac:dyDescent="0.3">
      <c r="A2" s="2"/>
      <c r="B2" s="2" t="s">
        <v>2</v>
      </c>
    </row>
    <row r="3" spans="1:7" x14ac:dyDescent="0.3">
      <c r="A3" s="3">
        <v>1</v>
      </c>
      <c r="B3" s="4" t="s">
        <v>3</v>
      </c>
      <c r="C3" s="6">
        <v>7.4400000000000006E-5</v>
      </c>
      <c r="E3" t="s">
        <v>76</v>
      </c>
    </row>
    <row r="4" spans="1:7" x14ac:dyDescent="0.3">
      <c r="A4" s="3">
        <v>2</v>
      </c>
      <c r="B4" s="4" t="s">
        <v>4</v>
      </c>
      <c r="C4" s="6">
        <v>5.7518000000000001E-5</v>
      </c>
      <c r="E4" t="s">
        <v>76</v>
      </c>
    </row>
    <row r="5" spans="1:7" x14ac:dyDescent="0.3">
      <c r="A5" s="3">
        <v>3</v>
      </c>
      <c r="B5" s="4" t="s">
        <v>5</v>
      </c>
      <c r="C5" s="6">
        <v>3.6279000000000003E-5</v>
      </c>
      <c r="E5" t="s">
        <v>76</v>
      </c>
    </row>
    <row r="6" spans="1:7" x14ac:dyDescent="0.3">
      <c r="A6" s="3">
        <v>4</v>
      </c>
      <c r="B6" s="4" t="s">
        <v>6</v>
      </c>
      <c r="C6" s="6">
        <v>6.2687999999999993E-5</v>
      </c>
      <c r="E6" t="s">
        <v>76</v>
      </c>
    </row>
    <row r="7" spans="1:7" x14ac:dyDescent="0.3">
      <c r="A7" s="3">
        <v>5</v>
      </c>
      <c r="B7" s="4" t="s">
        <v>7</v>
      </c>
      <c r="C7" s="6">
        <v>2.0000000000000002E-5</v>
      </c>
      <c r="E7" t="s">
        <v>76</v>
      </c>
    </row>
    <row r="8" spans="1:7" x14ac:dyDescent="0.3">
      <c r="A8" s="3">
        <v>6</v>
      </c>
      <c r="B8" s="4" t="s">
        <v>8</v>
      </c>
      <c r="C8">
        <v>1.7130000000000001</v>
      </c>
      <c r="E8" t="s">
        <v>76</v>
      </c>
      <c r="F8">
        <v>1.774</v>
      </c>
      <c r="G8" t="s">
        <v>74</v>
      </c>
    </row>
    <row r="9" spans="1:7" x14ac:dyDescent="0.3">
      <c r="A9" s="3">
        <v>7</v>
      </c>
      <c r="B9" s="4" t="s">
        <v>9</v>
      </c>
      <c r="C9">
        <v>5.5E-2</v>
      </c>
      <c r="E9" t="s">
        <v>76</v>
      </c>
    </row>
    <row r="10" spans="1:7" x14ac:dyDescent="0.3">
      <c r="A10" s="3">
        <v>8</v>
      </c>
      <c r="B10" s="4" t="s">
        <v>10</v>
      </c>
      <c r="C10" s="6">
        <v>5.3299999999999997E-3</v>
      </c>
      <c r="E10" t="s">
        <v>76</v>
      </c>
    </row>
    <row r="11" spans="1:7" x14ac:dyDescent="0.3">
      <c r="A11" s="3">
        <v>9</v>
      </c>
      <c r="B11" s="4" t="s">
        <v>11</v>
      </c>
      <c r="C11" s="6">
        <v>3.4600000000000001E-5</v>
      </c>
      <c r="E11" t="s">
        <v>76</v>
      </c>
    </row>
    <row r="12" spans="1:7" x14ac:dyDescent="0.3">
      <c r="A12" s="3">
        <v>10</v>
      </c>
      <c r="B12" s="4" t="s">
        <v>12</v>
      </c>
      <c r="C12">
        <v>2.5</v>
      </c>
    </row>
    <row r="13" spans="1:7" x14ac:dyDescent="0.3">
      <c r="A13" s="3">
        <v>11</v>
      </c>
      <c r="B13" s="4" t="s">
        <v>13</v>
      </c>
      <c r="C13">
        <v>1</v>
      </c>
    </row>
    <row r="14" spans="1:7" x14ac:dyDescent="0.3">
      <c r="A14" s="3">
        <v>12</v>
      </c>
      <c r="B14" s="4" t="s">
        <v>14</v>
      </c>
      <c r="C14">
        <v>1</v>
      </c>
    </row>
    <row r="15" spans="1:7" x14ac:dyDescent="0.3">
      <c r="A15" s="3">
        <v>13</v>
      </c>
      <c r="B15" s="4" t="s">
        <v>15</v>
      </c>
      <c r="C15">
        <v>2.5</v>
      </c>
    </row>
    <row r="16" spans="1:7" x14ac:dyDescent="0.3">
      <c r="A16" s="3"/>
      <c r="B16" s="4"/>
    </row>
    <row r="17" spans="1:5" x14ac:dyDescent="0.3">
      <c r="A17" s="2"/>
      <c r="B17" s="2" t="s">
        <v>16</v>
      </c>
    </row>
    <row r="18" spans="1:5" x14ac:dyDescent="0.3">
      <c r="A18" s="3">
        <v>14</v>
      </c>
      <c r="B18" s="4" t="s">
        <v>17</v>
      </c>
      <c r="C18">
        <v>28985</v>
      </c>
    </row>
    <row r="19" spans="1:5" x14ac:dyDescent="0.3">
      <c r="A19" s="3">
        <v>15</v>
      </c>
      <c r="B19" s="4" t="s">
        <v>18</v>
      </c>
      <c r="C19" t="s">
        <v>157</v>
      </c>
    </row>
    <row r="20" spans="1:5" x14ac:dyDescent="0.3">
      <c r="A20" s="3">
        <v>16</v>
      </c>
      <c r="B20" s="4" t="s">
        <v>19</v>
      </c>
      <c r="C20" t="s">
        <v>154</v>
      </c>
    </row>
    <row r="21" spans="1:5" x14ac:dyDescent="0.3">
      <c r="A21" s="3">
        <v>17</v>
      </c>
      <c r="B21" s="4" t="s">
        <v>20</v>
      </c>
      <c r="C21">
        <v>0</v>
      </c>
    </row>
    <row r="22" spans="1:5" x14ac:dyDescent="0.3">
      <c r="A22" s="3">
        <v>18</v>
      </c>
      <c r="B22" s="4" t="s">
        <v>21</v>
      </c>
      <c r="C22" t="s">
        <v>154</v>
      </c>
    </row>
    <row r="23" spans="1:5" x14ac:dyDescent="0.3">
      <c r="A23" s="3">
        <v>19</v>
      </c>
      <c r="B23" s="4" t="s">
        <v>22</v>
      </c>
      <c r="C23" s="6">
        <v>5.4799999999999998E-7</v>
      </c>
      <c r="E23" t="s">
        <v>75</v>
      </c>
    </row>
    <row r="24" spans="1:5" x14ac:dyDescent="0.3">
      <c r="A24" s="3">
        <v>20</v>
      </c>
      <c r="B24" s="4" t="s">
        <v>23</v>
      </c>
      <c r="C24" s="6">
        <v>4.7999999999999999E-15</v>
      </c>
    </row>
    <row r="25" spans="1:5" x14ac:dyDescent="0.3">
      <c r="A25" s="3">
        <v>21</v>
      </c>
      <c r="B25" s="4" t="s">
        <v>24</v>
      </c>
      <c r="C25">
        <v>0.57999999999999996</v>
      </c>
    </row>
    <row r="26" spans="1:5" x14ac:dyDescent="0.3">
      <c r="A26" s="3">
        <v>22</v>
      </c>
      <c r="B26" s="4" t="s">
        <v>25</v>
      </c>
      <c r="C26">
        <v>0.36</v>
      </c>
    </row>
    <row r="27" spans="1:5" x14ac:dyDescent="0.3">
      <c r="A27" s="3">
        <v>23</v>
      </c>
      <c r="B27" s="4" t="s">
        <v>26</v>
      </c>
      <c r="C27">
        <v>108.5</v>
      </c>
    </row>
    <row r="28" spans="1:5" x14ac:dyDescent="0.3">
      <c r="A28" s="3">
        <v>24</v>
      </c>
      <c r="B28" s="4" t="s">
        <v>27</v>
      </c>
      <c r="C28">
        <v>1.5</v>
      </c>
    </row>
    <row r="29" spans="1:5" x14ac:dyDescent="0.3">
      <c r="A29" s="3">
        <v>25</v>
      </c>
      <c r="B29" s="4" t="s">
        <v>28</v>
      </c>
      <c r="C29">
        <v>1.5</v>
      </c>
    </row>
    <row r="30" spans="1:5" x14ac:dyDescent="0.3">
      <c r="A30" s="3">
        <v>26</v>
      </c>
      <c r="B30" s="4" t="s">
        <v>29</v>
      </c>
      <c r="C30">
        <v>2260</v>
      </c>
    </row>
    <row r="31" spans="1:5" x14ac:dyDescent="0.3">
      <c r="A31" s="3">
        <v>27</v>
      </c>
      <c r="B31" s="4" t="s">
        <v>30</v>
      </c>
      <c r="C31">
        <v>700</v>
      </c>
    </row>
    <row r="32" spans="1:5" x14ac:dyDescent="0.3">
      <c r="A32" s="3"/>
      <c r="B32" s="4"/>
    </row>
    <row r="33" spans="1:5" x14ac:dyDescent="0.3">
      <c r="A33" s="2"/>
      <c r="B33" s="2" t="s">
        <v>31</v>
      </c>
    </row>
    <row r="34" spans="1:5" x14ac:dyDescent="0.3">
      <c r="A34" s="3">
        <v>28</v>
      </c>
      <c r="B34" s="4" t="s">
        <v>32</v>
      </c>
      <c r="C34">
        <v>22882</v>
      </c>
    </row>
    <row r="35" spans="1:5" x14ac:dyDescent="0.3">
      <c r="A35" s="3">
        <v>29</v>
      </c>
      <c r="B35" s="4" t="s">
        <v>33</v>
      </c>
      <c r="C35" t="s">
        <v>158</v>
      </c>
    </row>
    <row r="36" spans="1:5" x14ac:dyDescent="0.3">
      <c r="A36" s="3">
        <v>30</v>
      </c>
      <c r="B36" s="4" t="s">
        <v>34</v>
      </c>
      <c r="C36" t="s">
        <v>154</v>
      </c>
    </row>
    <row r="37" spans="1:5" x14ac:dyDescent="0.3">
      <c r="A37" s="3">
        <v>31</v>
      </c>
      <c r="B37" s="4" t="s">
        <v>35</v>
      </c>
      <c r="C37">
        <v>0</v>
      </c>
    </row>
    <row r="38" spans="1:5" x14ac:dyDescent="0.3">
      <c r="A38" s="3">
        <v>32</v>
      </c>
      <c r="B38" s="4" t="s">
        <v>36</v>
      </c>
      <c r="C38" t="s">
        <v>154</v>
      </c>
    </row>
    <row r="39" spans="1:5" x14ac:dyDescent="0.3">
      <c r="A39" s="3">
        <v>33</v>
      </c>
      <c r="B39" s="4" t="s">
        <v>37</v>
      </c>
      <c r="C39" s="6">
        <v>3.8000000000000003E-8</v>
      </c>
      <c r="E39" t="s">
        <v>75</v>
      </c>
    </row>
    <row r="40" spans="1:5" x14ac:dyDescent="0.3">
      <c r="A40" s="3">
        <v>34</v>
      </c>
      <c r="B40" s="4" t="s">
        <v>38</v>
      </c>
      <c r="C40" s="6">
        <v>2.3999999999999999E-17</v>
      </c>
    </row>
    <row r="41" spans="1:5" x14ac:dyDescent="0.3">
      <c r="A41" s="3">
        <v>35</v>
      </c>
      <c r="B41" s="4" t="s">
        <v>39</v>
      </c>
      <c r="C41">
        <v>0.36</v>
      </c>
    </row>
    <row r="42" spans="1:5" x14ac:dyDescent="0.3">
      <c r="A42" s="3">
        <v>36</v>
      </c>
      <c r="B42" s="4" t="s">
        <v>40</v>
      </c>
      <c r="C42">
        <v>0.55000000000000004</v>
      </c>
    </row>
    <row r="43" spans="1:5" x14ac:dyDescent="0.3">
      <c r="A43" s="3">
        <v>37</v>
      </c>
      <c r="B43" s="4" t="s">
        <v>41</v>
      </c>
      <c r="C43">
        <v>0.18</v>
      </c>
    </row>
    <row r="44" spans="1:5" x14ac:dyDescent="0.3">
      <c r="A44" s="3">
        <v>38</v>
      </c>
      <c r="B44" s="4" t="s">
        <v>42</v>
      </c>
      <c r="C44">
        <v>1.5</v>
      </c>
    </row>
    <row r="45" spans="1:5" x14ac:dyDescent="0.3">
      <c r="A45" s="3">
        <v>39</v>
      </c>
      <c r="B45" s="4" t="s">
        <v>43</v>
      </c>
      <c r="C45">
        <v>1.5</v>
      </c>
    </row>
    <row r="46" spans="1:5" x14ac:dyDescent="0.3">
      <c r="A46" s="3">
        <v>40</v>
      </c>
      <c r="B46" s="4" t="s">
        <v>44</v>
      </c>
      <c r="C46">
        <v>3610</v>
      </c>
    </row>
    <row r="47" spans="1:5" x14ac:dyDescent="0.3">
      <c r="A47" s="3">
        <v>41</v>
      </c>
      <c r="B47" s="4" t="s">
        <v>45</v>
      </c>
      <c r="C47">
        <v>1000</v>
      </c>
    </row>
    <row r="48" spans="1:5" x14ac:dyDescent="0.3">
      <c r="A48" s="3"/>
      <c r="B48" s="4"/>
    </row>
    <row r="49" spans="1:3" x14ac:dyDescent="0.3">
      <c r="A49" s="2"/>
      <c r="B49" s="2" t="s">
        <v>46</v>
      </c>
    </row>
    <row r="50" spans="1:3" x14ac:dyDescent="0.3">
      <c r="A50" s="3">
        <v>42</v>
      </c>
      <c r="B50" s="4" t="s">
        <v>47</v>
      </c>
      <c r="C50">
        <v>0.45</v>
      </c>
    </row>
    <row r="51" spans="1:3" x14ac:dyDescent="0.3">
      <c r="A51" s="3">
        <v>43</v>
      </c>
      <c r="B51" s="4" t="s">
        <v>48</v>
      </c>
      <c r="C51">
        <v>1.5</v>
      </c>
    </row>
    <row r="52" spans="1:3" x14ac:dyDescent="0.3">
      <c r="A52" s="3">
        <v>44</v>
      </c>
      <c r="B52" s="4" t="s">
        <v>49</v>
      </c>
      <c r="C52">
        <v>397</v>
      </c>
    </row>
    <row r="53" spans="1:3" x14ac:dyDescent="0.3">
      <c r="A53" s="3">
        <v>45</v>
      </c>
      <c r="B53" s="4" t="s">
        <v>50</v>
      </c>
      <c r="C53">
        <v>700</v>
      </c>
    </row>
    <row r="54" spans="1:3" x14ac:dyDescent="0.3">
      <c r="A54" s="3"/>
      <c r="B54" s="4"/>
    </row>
    <row r="55" spans="1:3" x14ac:dyDescent="0.3">
      <c r="A55" s="2"/>
      <c r="B55" s="2" t="s">
        <v>51</v>
      </c>
    </row>
    <row r="56" spans="1:3" x14ac:dyDescent="0.3">
      <c r="A56" s="3">
        <v>46</v>
      </c>
      <c r="B56" s="4" t="s">
        <v>52</v>
      </c>
      <c r="C56">
        <v>1200</v>
      </c>
    </row>
    <row r="57" spans="1:3" x14ac:dyDescent="0.3">
      <c r="A57" s="3">
        <v>47</v>
      </c>
      <c r="B57" s="4" t="s">
        <v>53</v>
      </c>
      <c r="C57">
        <v>0.38</v>
      </c>
    </row>
    <row r="58" spans="1:3" x14ac:dyDescent="0.3">
      <c r="A58" s="3">
        <v>48</v>
      </c>
      <c r="B58" s="4" t="s">
        <v>54</v>
      </c>
      <c r="C58">
        <v>1</v>
      </c>
    </row>
    <row r="59" spans="1:3" x14ac:dyDescent="0.3">
      <c r="A59" s="3">
        <v>49</v>
      </c>
      <c r="B59" s="4" t="s">
        <v>55</v>
      </c>
      <c r="C59" s="6">
        <v>1E-10</v>
      </c>
    </row>
    <row r="60" spans="1:3" x14ac:dyDescent="0.3">
      <c r="A60" s="3">
        <v>50</v>
      </c>
      <c r="B60" s="4" t="s">
        <v>56</v>
      </c>
      <c r="C60" t="s">
        <v>154</v>
      </c>
    </row>
    <row r="61" spans="1:3" x14ac:dyDescent="0.3">
      <c r="A61" s="3"/>
      <c r="B61" s="4"/>
    </row>
    <row r="62" spans="1:3" x14ac:dyDescent="0.3">
      <c r="A62" s="2"/>
      <c r="B62" s="2" t="s">
        <v>57</v>
      </c>
    </row>
    <row r="63" spans="1:3" x14ac:dyDescent="0.3">
      <c r="A63" s="3">
        <v>51</v>
      </c>
      <c r="B63" s="4" t="s">
        <v>58</v>
      </c>
      <c r="C63" s="6">
        <v>59500000</v>
      </c>
    </row>
    <row r="64" spans="1:3" x14ac:dyDescent="0.3">
      <c r="A64" s="3">
        <v>52</v>
      </c>
      <c r="B64" s="4" t="s">
        <v>59</v>
      </c>
      <c r="C64" s="6">
        <v>37700000</v>
      </c>
    </row>
    <row r="65" spans="1:3" x14ac:dyDescent="0.3">
      <c r="A65" s="3">
        <v>53</v>
      </c>
      <c r="B65" s="4" t="s">
        <v>60</v>
      </c>
      <c r="C65">
        <v>8960</v>
      </c>
    </row>
    <row r="66" spans="1:3" x14ac:dyDescent="0.3">
      <c r="A66" s="3">
        <v>54</v>
      </c>
      <c r="B66" s="4" t="s">
        <v>61</v>
      </c>
      <c r="C66">
        <v>2700</v>
      </c>
    </row>
    <row r="67" spans="1:3" x14ac:dyDescent="0.3">
      <c r="A67" s="3">
        <v>55</v>
      </c>
      <c r="B67" s="4" t="s">
        <v>62</v>
      </c>
      <c r="C67">
        <v>385</v>
      </c>
    </row>
    <row r="68" spans="1:3" x14ac:dyDescent="0.3">
      <c r="A68" s="3">
        <v>56</v>
      </c>
      <c r="B68" s="4" t="s">
        <v>63</v>
      </c>
      <c r="C68">
        <v>897</v>
      </c>
    </row>
    <row r="69" spans="1:3" x14ac:dyDescent="0.3">
      <c r="A69" s="3"/>
      <c r="B69" s="4"/>
    </row>
    <row r="70" spans="1:3" x14ac:dyDescent="0.3">
      <c r="A70" s="2"/>
      <c r="B70" s="2" t="s">
        <v>64</v>
      </c>
    </row>
    <row r="71" spans="1:3" x14ac:dyDescent="0.3">
      <c r="A71" s="3">
        <v>57</v>
      </c>
      <c r="B71" s="4" t="s">
        <v>65</v>
      </c>
      <c r="C71">
        <v>298.14999999999998</v>
      </c>
    </row>
    <row r="72" spans="1:3" x14ac:dyDescent="0.3">
      <c r="A72" s="3">
        <v>58</v>
      </c>
      <c r="B72" s="4" t="s">
        <v>66</v>
      </c>
      <c r="C72">
        <v>298.14999999999998</v>
      </c>
    </row>
    <row r="73" spans="1:3" x14ac:dyDescent="0.3">
      <c r="A73" s="3">
        <v>59</v>
      </c>
      <c r="B73" s="4" t="s">
        <v>67</v>
      </c>
      <c r="C73">
        <v>298.14999999999998</v>
      </c>
    </row>
    <row r="74" spans="1:3" x14ac:dyDescent="0.3">
      <c r="A74" s="3">
        <v>60</v>
      </c>
      <c r="B74" s="4" t="s">
        <v>68</v>
      </c>
      <c r="C74">
        <v>12</v>
      </c>
    </row>
    <row r="75" spans="1:3" x14ac:dyDescent="0.3">
      <c r="A75" s="3">
        <v>61</v>
      </c>
      <c r="B75" s="4" t="s">
        <v>69</v>
      </c>
      <c r="C75">
        <v>2</v>
      </c>
    </row>
    <row r="76" spans="1:3" x14ac:dyDescent="0.3">
      <c r="A76" s="3">
        <v>62</v>
      </c>
      <c r="B76" s="4" t="s">
        <v>70</v>
      </c>
      <c r="C76">
        <v>3.6</v>
      </c>
    </row>
    <row r="77" spans="1:3" x14ac:dyDescent="0.3">
      <c r="A77" s="3">
        <v>63</v>
      </c>
      <c r="B77" s="4" t="s">
        <v>71</v>
      </c>
      <c r="C77" t="s">
        <v>159</v>
      </c>
    </row>
    <row r="78" spans="1:3" x14ac:dyDescent="0.3">
      <c r="A78" s="3">
        <v>64</v>
      </c>
      <c r="B78" s="4" t="s">
        <v>72</v>
      </c>
      <c r="C78" t="s">
        <v>89</v>
      </c>
    </row>
  </sheetData>
  <autoFilter ref="A1:B78" xr:uid="{00000000-0009-0000-0000-000000000000}"/>
  <phoneticPr fontId="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2D3E-C5E2-4A37-8EC4-A64C3DA0A43D}">
  <dimension ref="A1:AA39"/>
  <sheetViews>
    <sheetView zoomScale="76" zoomScaleNormal="120" workbookViewId="0">
      <selection activeCell="AA18" sqref="AA18"/>
    </sheetView>
  </sheetViews>
  <sheetFormatPr defaultRowHeight="14.4" x14ac:dyDescent="0.3"/>
  <cols>
    <col min="2" max="2" width="9" bestFit="1" customWidth="1"/>
    <col min="9" max="9" width="11.5546875" bestFit="1" customWidth="1"/>
    <col min="11" max="11" width="9" bestFit="1" customWidth="1"/>
    <col min="13" max="13" width="9" bestFit="1" customWidth="1"/>
    <col min="17" max="17" width="15" customWidth="1"/>
    <col min="19" max="19" width="9" bestFit="1" customWidth="1"/>
    <col min="21" max="21" width="13.6640625" customWidth="1"/>
    <col min="23" max="23" width="9" bestFit="1" customWidth="1"/>
  </cols>
  <sheetData>
    <row r="1" spans="1:27" ht="15" thickBot="1" x14ac:dyDescent="0.35"/>
    <row r="2" spans="1:27" x14ac:dyDescent="0.3">
      <c r="A2" s="7" t="s">
        <v>77</v>
      </c>
      <c r="D2" s="8" t="s">
        <v>78</v>
      </c>
      <c r="E2" s="9"/>
      <c r="F2" s="9"/>
      <c r="G2" s="9"/>
      <c r="H2" s="10" t="s">
        <v>79</v>
      </c>
      <c r="I2" s="10">
        <v>1.7130000000000001</v>
      </c>
      <c r="J2" s="10"/>
      <c r="K2" s="10"/>
      <c r="L2" s="10"/>
      <c r="M2" s="10"/>
      <c r="N2" s="10"/>
      <c r="O2" s="11"/>
      <c r="Q2" s="12" t="s">
        <v>80</v>
      </c>
      <c r="R2" s="13" t="s">
        <v>81</v>
      </c>
      <c r="S2" s="14">
        <v>165</v>
      </c>
      <c r="U2" s="15" t="s">
        <v>82</v>
      </c>
      <c r="V2" s="16" t="s">
        <v>83</v>
      </c>
      <c r="W2" s="17">
        <v>330</v>
      </c>
      <c r="Y2" s="18"/>
      <c r="Z2" s="18"/>
      <c r="AA2" s="18"/>
    </row>
    <row r="3" spans="1:27" x14ac:dyDescent="0.3">
      <c r="A3" t="s">
        <v>84</v>
      </c>
      <c r="B3">
        <f>I2*I3</f>
        <v>9.4215000000000007E-2</v>
      </c>
      <c r="D3" s="19" t="s">
        <v>85</v>
      </c>
      <c r="H3" t="s">
        <v>79</v>
      </c>
      <c r="I3">
        <v>5.5E-2</v>
      </c>
      <c r="O3" s="20"/>
      <c r="Q3" s="21" t="s">
        <v>86</v>
      </c>
      <c r="R3" s="22" t="s">
        <v>87</v>
      </c>
      <c r="S3" s="23">
        <f>S4/100</f>
        <v>8.8484848484848472E-2</v>
      </c>
      <c r="U3" s="24" t="s">
        <v>88</v>
      </c>
      <c r="V3" t="s">
        <v>87</v>
      </c>
      <c r="W3" s="23">
        <f>W4/100</f>
        <v>4.1212121212121214E-2</v>
      </c>
    </row>
    <row r="4" spans="1:27" x14ac:dyDescent="0.3">
      <c r="A4" t="s">
        <v>89</v>
      </c>
      <c r="B4">
        <v>96487</v>
      </c>
      <c r="D4" s="19" t="s">
        <v>90</v>
      </c>
      <c r="H4" t="s">
        <v>79</v>
      </c>
      <c r="I4" s="6">
        <v>6.2700000000000006E-5</v>
      </c>
      <c r="K4" s="6"/>
      <c r="O4" s="20"/>
      <c r="Q4" s="24" t="s">
        <v>86</v>
      </c>
      <c r="R4" t="s">
        <v>91</v>
      </c>
      <c r="S4" s="23">
        <f>S5*1000/S2</f>
        <v>8.8484848484848477</v>
      </c>
      <c r="U4" s="24" t="s">
        <v>88</v>
      </c>
      <c r="V4" t="s">
        <v>91</v>
      </c>
      <c r="W4" s="23">
        <f>W5*1000/W2</f>
        <v>4.1212121212121211</v>
      </c>
      <c r="Z4" s="25"/>
    </row>
    <row r="5" spans="1:27" x14ac:dyDescent="0.3">
      <c r="D5" s="19" t="s">
        <v>92</v>
      </c>
      <c r="I5" s="26">
        <f>(S16/S8)/S18</f>
        <v>0.37528862562991572</v>
      </c>
      <c r="O5" s="20"/>
      <c r="Q5" s="56" t="s">
        <v>156</v>
      </c>
      <c r="R5" s="7" t="s">
        <v>155</v>
      </c>
      <c r="S5" s="55">
        <v>1.46</v>
      </c>
      <c r="T5" s="57"/>
      <c r="U5" s="56" t="s">
        <v>156</v>
      </c>
      <c r="V5" s="7" t="s">
        <v>155</v>
      </c>
      <c r="W5" s="55">
        <v>1.36</v>
      </c>
    </row>
    <row r="6" spans="1:27" x14ac:dyDescent="0.3">
      <c r="D6" s="19" t="s">
        <v>93</v>
      </c>
      <c r="H6" t="s">
        <v>94</v>
      </c>
      <c r="I6" s="27">
        <f>(S3*S6*S10)/(S12*I4*I5)</f>
        <v>22882.86004056795</v>
      </c>
      <c r="O6" s="20"/>
      <c r="Q6" s="24" t="s">
        <v>95</v>
      </c>
      <c r="S6" s="23">
        <v>0.96</v>
      </c>
      <c r="U6" s="24" t="s">
        <v>96</v>
      </c>
      <c r="W6" s="23">
        <v>0.96</v>
      </c>
    </row>
    <row r="7" spans="1:27" ht="15" thickBot="1" x14ac:dyDescent="0.35">
      <c r="D7" s="28"/>
      <c r="O7" s="20"/>
      <c r="Q7" s="24" t="s">
        <v>97</v>
      </c>
      <c r="R7" t="s">
        <v>91</v>
      </c>
      <c r="S7" s="23">
        <f>(S4*S6)</f>
        <v>8.4945454545454542</v>
      </c>
      <c r="U7" s="24" t="s">
        <v>98</v>
      </c>
      <c r="V7" t="s">
        <v>91</v>
      </c>
      <c r="W7" s="23">
        <f>W4*W6</f>
        <v>3.9563636363636361</v>
      </c>
    </row>
    <row r="8" spans="1:27" x14ac:dyDescent="0.3">
      <c r="D8" s="19" t="s">
        <v>99</v>
      </c>
      <c r="I8">
        <v>165</v>
      </c>
      <c r="K8" s="29">
        <v>163.19999999999999</v>
      </c>
      <c r="N8" t="s">
        <v>100</v>
      </c>
      <c r="O8" s="20"/>
      <c r="Q8" s="24" t="s">
        <v>101</v>
      </c>
      <c r="R8" t="s">
        <v>102</v>
      </c>
      <c r="S8" s="23">
        <v>3.61</v>
      </c>
      <c r="U8" s="24" t="s">
        <v>103</v>
      </c>
      <c r="V8" t="s">
        <v>102</v>
      </c>
      <c r="W8" s="23">
        <v>2.2599999999999998</v>
      </c>
      <c r="Z8" s="6"/>
    </row>
    <row r="9" spans="1:27" x14ac:dyDescent="0.3">
      <c r="D9" s="19" t="s">
        <v>104</v>
      </c>
      <c r="I9">
        <f>(170-I8)/170</f>
        <v>2.9411764705882353E-2</v>
      </c>
      <c r="K9" s="30">
        <f>(170-K8)/170</f>
        <v>4.000000000000007E-2</v>
      </c>
      <c r="M9">
        <v>0.04</v>
      </c>
      <c r="O9" s="20"/>
      <c r="Q9" s="24" t="s">
        <v>105</v>
      </c>
      <c r="R9" t="s">
        <v>106</v>
      </c>
      <c r="S9" s="23">
        <f>(S16/S8)</f>
        <v>4.1578564593301431E-3</v>
      </c>
      <c r="U9" s="24" t="s">
        <v>107</v>
      </c>
      <c r="V9" t="s">
        <v>106</v>
      </c>
      <c r="W9" s="23">
        <f>W16/W8</f>
        <v>3.0933161705551083E-3</v>
      </c>
    </row>
    <row r="10" spans="1:27" ht="15" thickBot="1" x14ac:dyDescent="0.35">
      <c r="D10" s="19" t="s">
        <v>108</v>
      </c>
      <c r="I10">
        <f>I8/170</f>
        <v>0.97058823529411764</v>
      </c>
      <c r="K10" s="31">
        <f>K8/170</f>
        <v>0.96</v>
      </c>
      <c r="O10" s="20"/>
      <c r="Q10" s="24" t="s">
        <v>109</v>
      </c>
      <c r="S10" s="23">
        <v>1</v>
      </c>
      <c r="U10" s="24" t="s">
        <v>110</v>
      </c>
      <c r="W10" s="23">
        <v>1</v>
      </c>
      <c r="Z10" s="6"/>
    </row>
    <row r="11" spans="1:27" x14ac:dyDescent="0.3">
      <c r="D11" s="28"/>
      <c r="O11" s="20"/>
      <c r="Q11" s="24" t="s">
        <v>111</v>
      </c>
      <c r="R11" t="s">
        <v>112</v>
      </c>
      <c r="S11" s="23">
        <v>157.76</v>
      </c>
      <c r="U11" s="24" t="s">
        <v>113</v>
      </c>
      <c r="V11" t="s">
        <v>112</v>
      </c>
      <c r="W11" s="23">
        <v>12.01</v>
      </c>
    </row>
    <row r="12" spans="1:27" x14ac:dyDescent="0.3">
      <c r="D12" s="19" t="s">
        <v>114</v>
      </c>
      <c r="I12">
        <v>2.5</v>
      </c>
      <c r="O12" s="20"/>
      <c r="Q12" s="24" t="s">
        <v>115</v>
      </c>
      <c r="R12" t="s">
        <v>116</v>
      </c>
      <c r="S12" s="23">
        <f>(S11/1000)</f>
        <v>0.15775999999999998</v>
      </c>
      <c r="U12" s="24" t="s">
        <v>113</v>
      </c>
      <c r="V12" t="s">
        <v>117</v>
      </c>
      <c r="W12" s="23">
        <v>1.201E-2</v>
      </c>
    </row>
    <row r="13" spans="1:27" x14ac:dyDescent="0.3">
      <c r="D13" s="19" t="s">
        <v>118</v>
      </c>
      <c r="H13" t="s">
        <v>119</v>
      </c>
      <c r="I13">
        <v>2.5</v>
      </c>
      <c r="O13" s="20"/>
      <c r="Q13" s="24"/>
      <c r="S13" s="23"/>
      <c r="U13" s="24"/>
      <c r="W13" s="23"/>
    </row>
    <row r="14" spans="1:27" x14ac:dyDescent="0.3">
      <c r="D14" s="19"/>
      <c r="I14" s="26"/>
      <c r="O14" s="20"/>
      <c r="Q14" s="24" t="s">
        <v>120</v>
      </c>
      <c r="S14" s="23">
        <v>62.7</v>
      </c>
      <c r="U14" s="24" t="s">
        <v>120</v>
      </c>
      <c r="V14" t="s">
        <v>121</v>
      </c>
      <c r="W14" s="23">
        <v>36.299999999999997</v>
      </c>
    </row>
    <row r="15" spans="1:27" x14ac:dyDescent="0.3">
      <c r="D15" s="19"/>
      <c r="O15" s="20"/>
      <c r="Q15" s="24" t="s">
        <v>122</v>
      </c>
      <c r="R15" t="s">
        <v>123</v>
      </c>
      <c r="S15" s="23">
        <v>1.7669999999999999</v>
      </c>
      <c r="U15" s="24" t="s">
        <v>122</v>
      </c>
      <c r="V15" t="s">
        <v>123</v>
      </c>
      <c r="W15" s="23">
        <v>1.7669999999999999</v>
      </c>
    </row>
    <row r="16" spans="1:27" ht="15" thickBot="1" x14ac:dyDescent="0.35">
      <c r="D16" s="32" t="s">
        <v>124</v>
      </c>
      <c r="E16" s="33"/>
      <c r="F16" s="33"/>
      <c r="G16" s="33"/>
      <c r="H16" s="33" t="s">
        <v>119</v>
      </c>
      <c r="I16" s="34">
        <f>(I6*B3*(2*I4)*I5*B4*ABS(I9-I10))/3600</f>
        <v>2.5593557624786221</v>
      </c>
      <c r="J16" s="33"/>
      <c r="K16" s="33"/>
      <c r="L16" s="33"/>
      <c r="M16" s="33"/>
      <c r="N16" s="33"/>
      <c r="O16" s="35"/>
      <c r="P16" s="18"/>
      <c r="Q16" s="24" t="s">
        <v>95</v>
      </c>
      <c r="R16" t="s">
        <v>125</v>
      </c>
      <c r="S16" s="36">
        <f>(S7*S15)/1000</f>
        <v>1.5009861818181817E-2</v>
      </c>
      <c r="U16" s="24" t="s">
        <v>96</v>
      </c>
      <c r="V16" t="s">
        <v>125</v>
      </c>
      <c r="W16" s="36">
        <f>(W7*W15)/1000</f>
        <v>6.9908945454545445E-3</v>
      </c>
      <c r="Y16" s="7"/>
    </row>
    <row r="17" spans="1:26" x14ac:dyDescent="0.3">
      <c r="D17" s="18"/>
      <c r="P17" s="18"/>
      <c r="Q17" s="24" t="s">
        <v>126</v>
      </c>
      <c r="R17" t="s">
        <v>125</v>
      </c>
      <c r="S17" s="36">
        <f>(S4*1.767)/1000</f>
        <v>1.5635272727272723E-2</v>
      </c>
      <c r="T17" s="18"/>
      <c r="U17" s="24" t="s">
        <v>126</v>
      </c>
      <c r="V17" t="s">
        <v>125</v>
      </c>
      <c r="W17" s="36">
        <f>(W4*1.767)/1000</f>
        <v>7.2821818181818179E-3</v>
      </c>
      <c r="Y17" s="7"/>
    </row>
    <row r="18" spans="1:26" x14ac:dyDescent="0.3">
      <c r="D18" s="18"/>
      <c r="Q18" s="24" t="s">
        <v>127</v>
      </c>
      <c r="R18" t="s">
        <v>106</v>
      </c>
      <c r="S18" s="23">
        <f>(1.767*(S14/10000))</f>
        <v>1.107909E-2</v>
      </c>
      <c r="T18" s="18"/>
      <c r="U18" s="24" t="s">
        <v>127</v>
      </c>
      <c r="V18" t="s">
        <v>106</v>
      </c>
      <c r="W18" s="23">
        <f>(1.767*(W14/10000))</f>
        <v>6.4142099999999992E-3</v>
      </c>
    </row>
    <row r="19" spans="1:26" x14ac:dyDescent="0.3">
      <c r="D19" s="18"/>
      <c r="Q19" s="24" t="s">
        <v>128</v>
      </c>
      <c r="R19" t="s">
        <v>129</v>
      </c>
      <c r="S19" s="23">
        <f>(S18/1000000)</f>
        <v>1.107909E-8</v>
      </c>
      <c r="T19" s="18"/>
      <c r="U19" s="24" t="s">
        <v>128</v>
      </c>
      <c r="V19" t="s">
        <v>129</v>
      </c>
      <c r="W19" s="23">
        <f>(W18/1000000)</f>
        <v>6.4142099999999995E-9</v>
      </c>
    </row>
    <row r="20" spans="1:26" x14ac:dyDescent="0.3">
      <c r="D20" s="18"/>
      <c r="Q20" s="24" t="s">
        <v>130</v>
      </c>
      <c r="R20" t="s">
        <v>131</v>
      </c>
      <c r="S20" s="37">
        <f>(S17/1000)/(S19)</f>
        <v>1411.2416026291621</v>
      </c>
      <c r="U20" s="24" t="s">
        <v>130</v>
      </c>
      <c r="V20" t="s">
        <v>131</v>
      </c>
      <c r="W20" s="37">
        <f>(W17/1000)/(W19)</f>
        <v>1135.3201435846063</v>
      </c>
    </row>
    <row r="21" spans="1:26" x14ac:dyDescent="0.3">
      <c r="D21" s="18"/>
      <c r="Q21" s="24"/>
      <c r="S21" s="37"/>
      <c r="U21" s="24"/>
      <c r="W21" s="23"/>
    </row>
    <row r="22" spans="1:26" ht="15" thickBot="1" x14ac:dyDescent="0.35">
      <c r="D22" s="18"/>
      <c r="Q22" s="38" t="s">
        <v>132</v>
      </c>
      <c r="R22" s="39"/>
      <c r="S22" s="40">
        <f>(S9/S18)</f>
        <v>0.37528862562991572</v>
      </c>
      <c r="U22" s="38" t="s">
        <v>132</v>
      </c>
      <c r="V22" s="39"/>
      <c r="W22" s="58">
        <f>W9/W18</f>
        <v>0.48225988400054076</v>
      </c>
      <c r="X22" t="s">
        <v>160</v>
      </c>
    </row>
    <row r="23" spans="1:26" x14ac:dyDescent="0.3">
      <c r="A23" s="7" t="s">
        <v>133</v>
      </c>
      <c r="D23" s="8" t="s">
        <v>78</v>
      </c>
      <c r="E23" s="9"/>
      <c r="F23" s="9"/>
      <c r="G23" s="9"/>
      <c r="H23" s="10" t="s">
        <v>79</v>
      </c>
      <c r="I23" s="10">
        <v>1.774</v>
      </c>
      <c r="J23" s="10"/>
      <c r="K23" s="10"/>
      <c r="L23" s="10"/>
      <c r="M23" s="10"/>
      <c r="N23" s="10"/>
      <c r="O23" s="11"/>
      <c r="Q23" s="18"/>
      <c r="R23" s="18"/>
      <c r="S23" s="41" t="s">
        <v>161</v>
      </c>
      <c r="V23" s="18"/>
      <c r="W23" s="18"/>
      <c r="X23" s="41"/>
    </row>
    <row r="24" spans="1:26" x14ac:dyDescent="0.3">
      <c r="A24" t="s">
        <v>134</v>
      </c>
      <c r="B24">
        <f>I23*I24</f>
        <v>9.7570000000000004E-2</v>
      </c>
      <c r="D24" s="19" t="s">
        <v>85</v>
      </c>
      <c r="H24" t="s">
        <v>79</v>
      </c>
      <c r="I24">
        <v>5.5E-2</v>
      </c>
      <c r="O24" s="20"/>
      <c r="S24" s="42"/>
      <c r="X24" s="42"/>
    </row>
    <row r="25" spans="1:26" x14ac:dyDescent="0.3">
      <c r="A25" t="s">
        <v>89</v>
      </c>
      <c r="B25">
        <v>96487</v>
      </c>
      <c r="D25" s="19" t="s">
        <v>135</v>
      </c>
      <c r="H25" t="s">
        <v>79</v>
      </c>
      <c r="I25" s="6">
        <v>3.6300000000000001E-5</v>
      </c>
      <c r="K25" s="6"/>
      <c r="O25" s="20"/>
      <c r="Q25" s="43" t="s">
        <v>136</v>
      </c>
      <c r="R25" s="44"/>
      <c r="S25" s="44"/>
      <c r="T25" s="45"/>
      <c r="U25" s="45"/>
      <c r="V25" s="45"/>
      <c r="W25" s="45"/>
      <c r="X25" s="45"/>
      <c r="Y25" s="45"/>
      <c r="Z25" s="46"/>
    </row>
    <row r="26" spans="1:26" x14ac:dyDescent="0.3">
      <c r="D26" s="19" t="s">
        <v>137</v>
      </c>
      <c r="I26">
        <f>(W16/W8)/W18</f>
        <v>0.48225988400054076</v>
      </c>
      <c r="O26" s="20"/>
      <c r="Q26" s="47"/>
      <c r="R26" s="48"/>
      <c r="S26" s="48"/>
      <c r="T26" s="48"/>
      <c r="U26" s="48"/>
      <c r="V26" s="48"/>
      <c r="W26" s="48"/>
      <c r="X26" s="48"/>
      <c r="Y26" s="48"/>
      <c r="Z26" s="49"/>
    </row>
    <row r="27" spans="1:26" x14ac:dyDescent="0.3">
      <c r="D27" s="19" t="s">
        <v>138</v>
      </c>
      <c r="H27" t="s">
        <v>94</v>
      </c>
      <c r="I27" s="27">
        <f>((W2*0.00001*W4*3600)/(B25*W14*0.001*I26))*10^6</f>
        <v>28985.770103744548</v>
      </c>
      <c r="O27" s="20"/>
      <c r="Q27" s="50" t="s">
        <v>139</v>
      </c>
      <c r="V27" s="18"/>
      <c r="W27" s="18"/>
      <c r="Z27" s="23"/>
    </row>
    <row r="28" spans="1:26" ht="15" thickBot="1" x14ac:dyDescent="0.35">
      <c r="D28" s="28"/>
      <c r="O28" s="20"/>
      <c r="Q28" s="24"/>
      <c r="V28" s="18"/>
      <c r="W28" s="18"/>
      <c r="Z28" s="23"/>
    </row>
    <row r="29" spans="1:26" x14ac:dyDescent="0.3">
      <c r="D29" s="19" t="s">
        <v>140</v>
      </c>
      <c r="I29">
        <v>350</v>
      </c>
      <c r="K29" s="29">
        <v>330</v>
      </c>
      <c r="N29" t="s">
        <v>100</v>
      </c>
      <c r="O29" s="20"/>
      <c r="Q29" s="50" t="s">
        <v>141</v>
      </c>
      <c r="V29" s="18"/>
      <c r="W29" s="7" t="s">
        <v>142</v>
      </c>
      <c r="Z29" s="23"/>
    </row>
    <row r="30" spans="1:26" x14ac:dyDescent="0.3">
      <c r="D30" s="19" t="s">
        <v>143</v>
      </c>
      <c r="I30">
        <f>I29/370</f>
        <v>0.94594594594594594</v>
      </c>
      <c r="K30" s="30">
        <f>K29/370</f>
        <v>0.89189189189189189</v>
      </c>
      <c r="M30">
        <v>0.83</v>
      </c>
      <c r="O30" s="20"/>
      <c r="Q30" s="50"/>
      <c r="V30" s="18"/>
      <c r="W30" s="7"/>
      <c r="Z30" s="23"/>
    </row>
    <row r="31" spans="1:26" ht="15" thickBot="1" x14ac:dyDescent="0.35">
      <c r="D31" s="19" t="s">
        <v>144</v>
      </c>
      <c r="I31">
        <f>(370-I29)/370</f>
        <v>5.4054054054054057E-2</v>
      </c>
      <c r="K31" s="31">
        <f>(370-K29)/370</f>
        <v>0.10810810810810811</v>
      </c>
      <c r="O31" s="20"/>
      <c r="Q31" s="50" t="s">
        <v>145</v>
      </c>
      <c r="Z31" s="23"/>
    </row>
    <row r="32" spans="1:26" x14ac:dyDescent="0.3">
      <c r="D32" s="28"/>
      <c r="O32" s="20"/>
      <c r="Q32" s="24"/>
      <c r="Z32" s="23"/>
    </row>
    <row r="33" spans="4:27" x14ac:dyDescent="0.3">
      <c r="D33" s="19" t="s">
        <v>114</v>
      </c>
      <c r="I33">
        <v>2.5</v>
      </c>
      <c r="O33" s="20"/>
      <c r="Q33" s="50" t="s">
        <v>146</v>
      </c>
      <c r="R33" s="18"/>
      <c r="S33" s="18" t="s">
        <v>147</v>
      </c>
      <c r="T33" s="18"/>
      <c r="Z33" s="23"/>
    </row>
    <row r="34" spans="4:27" x14ac:dyDescent="0.3">
      <c r="D34" s="19" t="s">
        <v>118</v>
      </c>
      <c r="H34" t="s">
        <v>119</v>
      </c>
      <c r="I34">
        <v>2.5</v>
      </c>
      <c r="O34" s="20"/>
      <c r="Q34" s="50"/>
      <c r="R34" s="18"/>
      <c r="S34" s="18"/>
      <c r="T34" s="18"/>
      <c r="Z34" s="23"/>
    </row>
    <row r="35" spans="4:27" x14ac:dyDescent="0.3">
      <c r="D35" s="19"/>
      <c r="O35" s="20"/>
      <c r="Q35" s="50" t="s">
        <v>148</v>
      </c>
      <c r="R35" s="18"/>
      <c r="S35" s="18" t="s">
        <v>149</v>
      </c>
      <c r="T35" s="18"/>
      <c r="Z35" s="23"/>
    </row>
    <row r="36" spans="4:27" x14ac:dyDescent="0.3">
      <c r="D36" s="19"/>
      <c r="O36" s="20"/>
      <c r="Q36" s="24"/>
      <c r="Z36" s="23"/>
    </row>
    <row r="37" spans="4:27" ht="15" thickBot="1" x14ac:dyDescent="0.35">
      <c r="D37" s="32" t="s">
        <v>150</v>
      </c>
      <c r="E37" s="33"/>
      <c r="F37" s="33"/>
      <c r="G37" s="33"/>
      <c r="H37" s="33" t="s">
        <v>119</v>
      </c>
      <c r="I37" s="34">
        <f>(I27*B24*(2*I25)*I26*B25*ABS(I30-I31))/3600</f>
        <v>2.36699545945946</v>
      </c>
      <c r="J37" s="33"/>
      <c r="K37" s="51"/>
      <c r="L37" s="51"/>
      <c r="M37" s="51"/>
      <c r="N37" s="33"/>
      <c r="O37" s="35"/>
      <c r="Q37" s="52" t="s">
        <v>151</v>
      </c>
      <c r="R37" s="39"/>
      <c r="S37" s="39"/>
      <c r="T37" s="39"/>
      <c r="U37" s="39"/>
      <c r="V37" s="39"/>
      <c r="W37" s="39"/>
      <c r="X37" s="39"/>
      <c r="Y37" s="39"/>
      <c r="Z37" s="53"/>
    </row>
    <row r="38" spans="4:27" x14ac:dyDescent="0.3">
      <c r="I38" s="54" t="s">
        <v>152</v>
      </c>
    </row>
    <row r="39" spans="4:27" x14ac:dyDescent="0.3">
      <c r="Q39" s="7" t="s">
        <v>153</v>
      </c>
      <c r="R39" s="7"/>
      <c r="S39" s="7"/>
      <c r="T39" s="7"/>
      <c r="U39" s="7"/>
      <c r="V39" s="7"/>
      <c r="W39" s="7"/>
      <c r="X39" s="55"/>
      <c r="Y39" s="7"/>
      <c r="Z39" s="7"/>
      <c r="AA3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2FB9-FA50-477F-B4C5-969475CB678B}">
  <dimension ref="A1:A70"/>
  <sheetViews>
    <sheetView workbookViewId="0">
      <selection activeCell="F12" sqref="F12"/>
    </sheetView>
  </sheetViews>
  <sheetFormatPr defaultRowHeight="14.4" x14ac:dyDescent="0.3"/>
  <sheetData>
    <row r="1" spans="1:1" x14ac:dyDescent="0.3">
      <c r="A1" t="s">
        <v>162</v>
      </c>
    </row>
    <row r="3" spans="1:1" x14ac:dyDescent="0.3">
      <c r="A3" t="s">
        <v>163</v>
      </c>
    </row>
    <row r="4" spans="1:1" x14ac:dyDescent="0.3">
      <c r="A4" t="s">
        <v>164</v>
      </c>
    </row>
    <row r="5" spans="1:1" x14ac:dyDescent="0.3">
      <c r="A5">
        <v>0.2482</v>
      </c>
    </row>
    <row r="6" spans="1:1" x14ac:dyDescent="0.3">
      <c r="A6" t="s">
        <v>165</v>
      </c>
    </row>
    <row r="7" spans="1:1" x14ac:dyDescent="0.3">
      <c r="A7" t="s">
        <v>166</v>
      </c>
    </row>
    <row r="8" spans="1:1" x14ac:dyDescent="0.3">
      <c r="A8" t="s">
        <v>167</v>
      </c>
    </row>
    <row r="9" spans="1:1" x14ac:dyDescent="0.3">
      <c r="A9" t="s">
        <v>168</v>
      </c>
    </row>
    <row r="11" spans="1:1" x14ac:dyDescent="0.3">
      <c r="A11" t="s">
        <v>169</v>
      </c>
    </row>
    <row r="14" spans="1:1" x14ac:dyDescent="0.3">
      <c r="A14" t="s">
        <v>170</v>
      </c>
    </row>
    <row r="15" spans="1:1" x14ac:dyDescent="0.3">
      <c r="A15" t="s">
        <v>171</v>
      </c>
    </row>
    <row r="16" spans="1:1" x14ac:dyDescent="0.3">
      <c r="A16" t="s">
        <v>172</v>
      </c>
    </row>
    <row r="17" spans="1:1" x14ac:dyDescent="0.3">
      <c r="A17" t="s">
        <v>173</v>
      </c>
    </row>
    <row r="18" spans="1:1" x14ac:dyDescent="0.3">
      <c r="A18" t="s">
        <v>174</v>
      </c>
    </row>
    <row r="19" spans="1:1" x14ac:dyDescent="0.3">
      <c r="A19" t="s">
        <v>175</v>
      </c>
    </row>
    <row r="21" spans="1:1" x14ac:dyDescent="0.3">
      <c r="A21" t="s">
        <v>176</v>
      </c>
    </row>
    <row r="24" spans="1:1" x14ac:dyDescent="0.3">
      <c r="A24" t="s">
        <v>177</v>
      </c>
    </row>
    <row r="26" spans="1:1" x14ac:dyDescent="0.3">
      <c r="A26" t="s">
        <v>178</v>
      </c>
    </row>
    <row r="27" spans="1:1" x14ac:dyDescent="0.3">
      <c r="A27" t="s">
        <v>179</v>
      </c>
    </row>
    <row r="28" spans="1:1" x14ac:dyDescent="0.3">
      <c r="A28" t="s">
        <v>180</v>
      </c>
    </row>
    <row r="30" spans="1:1" x14ac:dyDescent="0.3">
      <c r="A30" t="s">
        <v>181</v>
      </c>
    </row>
    <row r="33" spans="1:1" x14ac:dyDescent="0.3">
      <c r="A33" t="s">
        <v>182</v>
      </c>
    </row>
    <row r="35" spans="1:1" x14ac:dyDescent="0.3">
      <c r="A35" t="s">
        <v>183</v>
      </c>
    </row>
    <row r="36" spans="1:1" x14ac:dyDescent="0.3">
      <c r="A36" t="s">
        <v>184</v>
      </c>
    </row>
    <row r="37" spans="1:1" x14ac:dyDescent="0.3">
      <c r="A37" t="s">
        <v>175</v>
      </c>
    </row>
    <row r="39" spans="1:1" x14ac:dyDescent="0.3">
      <c r="A39" t="s">
        <v>176</v>
      </c>
    </row>
    <row r="42" spans="1:1" x14ac:dyDescent="0.3">
      <c r="A42" t="s">
        <v>185</v>
      </c>
    </row>
    <row r="43" spans="1:1" x14ac:dyDescent="0.3">
      <c r="A43" t="s">
        <v>186</v>
      </c>
    </row>
    <row r="44" spans="1:1" x14ac:dyDescent="0.3">
      <c r="A44" t="s">
        <v>187</v>
      </c>
    </row>
    <row r="46" spans="1:1" x14ac:dyDescent="0.3">
      <c r="A46" t="s">
        <v>188</v>
      </c>
    </row>
    <row r="47" spans="1:1" x14ac:dyDescent="0.3">
      <c r="A47" s="6">
        <v>4.1252999999999998E-4</v>
      </c>
    </row>
    <row r="48" spans="1:1" x14ac:dyDescent="0.3">
      <c r="A48" t="s">
        <v>189</v>
      </c>
    </row>
    <row r="49" spans="1:1" x14ac:dyDescent="0.3">
      <c r="A49" t="s">
        <v>190</v>
      </c>
    </row>
    <row r="50" spans="1:1" x14ac:dyDescent="0.3">
      <c r="A50" t="s">
        <v>191</v>
      </c>
    </row>
    <row r="51" spans="1:1" x14ac:dyDescent="0.3">
      <c r="A51" t="s">
        <v>192</v>
      </c>
    </row>
    <row r="52" spans="1:1" x14ac:dyDescent="0.3">
      <c r="A52" t="s">
        <v>193</v>
      </c>
    </row>
    <row r="54" spans="1:1" x14ac:dyDescent="0.3">
      <c r="A54" t="s">
        <v>194</v>
      </c>
    </row>
    <row r="56" spans="1:1" x14ac:dyDescent="0.3">
      <c r="A56" t="s">
        <v>195</v>
      </c>
    </row>
    <row r="57" spans="1:1" x14ac:dyDescent="0.3">
      <c r="A57" t="s">
        <v>196</v>
      </c>
    </row>
    <row r="58" spans="1:1" x14ac:dyDescent="0.3">
      <c r="A58" t="s">
        <v>197</v>
      </c>
    </row>
    <row r="59" spans="1:1" x14ac:dyDescent="0.3">
      <c r="A59" t="s">
        <v>198</v>
      </c>
    </row>
    <row r="60" spans="1:1" x14ac:dyDescent="0.3">
      <c r="A60" t="s">
        <v>199</v>
      </c>
    </row>
    <row r="62" spans="1:1" x14ac:dyDescent="0.3">
      <c r="A62" t="s">
        <v>200</v>
      </c>
    </row>
    <row r="64" spans="1:1" x14ac:dyDescent="0.3">
      <c r="A64" t="s">
        <v>201</v>
      </c>
    </row>
    <row r="65" spans="1:1" x14ac:dyDescent="0.3">
      <c r="A65" t="s">
        <v>196</v>
      </c>
    </row>
    <row r="66" spans="1:1" x14ac:dyDescent="0.3">
      <c r="A66" t="s">
        <v>202</v>
      </c>
    </row>
    <row r="67" spans="1:1" x14ac:dyDescent="0.3">
      <c r="A67" t="s">
        <v>203</v>
      </c>
    </row>
    <row r="68" spans="1:1" x14ac:dyDescent="0.3">
      <c r="A68" t="s">
        <v>199</v>
      </c>
    </row>
    <row r="70" spans="1:1" x14ac:dyDescent="0.3">
      <c r="A70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DF15-AF30-4011-8640-5F66E09A55A2}">
  <dimension ref="A1"/>
  <sheetViews>
    <sheetView workbookViewId="0">
      <selection activeCell="S16" sqref="S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PyBaMM Parameters</vt:lpstr>
      <vt:lpstr>Concentration_Volume_fraction c</vt:lpstr>
      <vt:lpstr>function parameters</vt:lpstr>
      <vt:lpstr>Density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Prasad R R</cp:lastModifiedBy>
  <dcterms:created xsi:type="dcterms:W3CDTF">2026-04-03T18:32:55Z</dcterms:created>
  <dcterms:modified xsi:type="dcterms:W3CDTF">2026-04-09T11:21:13Z</dcterms:modified>
</cp:coreProperties>
</file>